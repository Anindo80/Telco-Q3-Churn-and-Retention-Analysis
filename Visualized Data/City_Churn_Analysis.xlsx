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wpc2\Downloads\DA\New folder\4 Vz ready data\"/>
    </mc:Choice>
  </mc:AlternateContent>
  <xr:revisionPtr revIDLastSave="0" documentId="8_{975EF1E3-2F15-46DB-8B42-E4201D700CAB}" xr6:coauthVersionLast="47" xr6:coauthVersionMax="47" xr10:uidLastSave="{00000000-0000-0000-0000-000000000000}"/>
  <bookViews>
    <workbookView xWindow="11595" yWindow="1860" windowWidth="19110" windowHeight="15345" xr2:uid="{1322B85B-FDE0-4D91-BE0E-69646951422F}"/>
  </bookViews>
  <sheets>
    <sheet name="City_Churn_Analysis" sheetId="1" r:id="rId1"/>
  </sheets>
  <externalReferences>
    <externalReference r:id="rId2"/>
  </externalReferences>
  <definedNames>
    <definedName name="ExternalData_4" localSheetId="0" hidden="1">'City_Churn_Analysis'!$A$1:$E$11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10" i="1"/>
  <c r="F9" i="1"/>
  <c r="F8" i="1"/>
  <c r="F7" i="1"/>
  <c r="F6" i="1"/>
  <c r="F5" i="1"/>
  <c r="F4" i="1"/>
  <c r="F3" i="1"/>
  <c r="F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2C52C2-C808-43EB-BF1B-1535198EFF1A}" keepAlive="1" name="Query - City_Churn_Analysis" description="Connection to the 'City_Churn_Analysis' query in the workbook." type="5" refreshedVersion="8" background="1" saveData="1">
    <dbPr connection="Provider=Microsoft.Mashup.OleDb.1;Data Source=$Workbook$;Location=City_Churn_Analysis;Extended Properties=&quot;&quot;" command="SELECT * FROM [City_Churn_Analysis]"/>
  </connection>
</connections>
</file>

<file path=xl/sharedStrings.xml><?xml version="1.0" encoding="utf-8"?>
<sst xmlns="http://schemas.openxmlformats.org/spreadsheetml/2006/main" count="26" uniqueCount="20">
  <si>
    <t>city</t>
  </si>
  <si>
    <t>total_churned</t>
  </si>
  <si>
    <t>top_reason</t>
  </si>
  <si>
    <t>toal_churned_for_top_reason</t>
  </si>
  <si>
    <t>churn_rate</t>
  </si>
  <si>
    <t>Column1</t>
  </si>
  <si>
    <t>Glendale</t>
  </si>
  <si>
    <t>Attitude of support person</t>
  </si>
  <si>
    <t>Long Beach</t>
  </si>
  <si>
    <t>Moved</t>
  </si>
  <si>
    <t>Escondido</t>
  </si>
  <si>
    <t>Competitor made better offer</t>
  </si>
  <si>
    <t>Temecula</t>
  </si>
  <si>
    <t>Fallbrook</t>
  </si>
  <si>
    <t>Sacramento</t>
  </si>
  <si>
    <t>Competitor had better devices</t>
  </si>
  <si>
    <t>San Jose</t>
  </si>
  <si>
    <t>San Francisco</t>
  </si>
  <si>
    <t>Los Angeles</t>
  </si>
  <si>
    <t>San Diego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</si>
</sst>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 10 Cities w/</a:t>
            </a:r>
            <a:r>
              <a:rPr lang="en-US" b="1" baseline="0"/>
              <a:t> Most Churn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'City_Churn_Analysis'!$B$1</c:f>
              <c:strCache>
                <c:ptCount val="1"/>
                <c:pt idx="0">
                  <c:v>total_churned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FFE5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C94-4BC3-9762-7CD2028FB24B}"/>
              </c:ext>
            </c:extLst>
          </c:dPt>
          <c:dPt>
            <c:idx val="1"/>
            <c:invertIfNegative val="0"/>
            <c:bubble3D val="0"/>
            <c:spPr>
              <a:solidFill>
                <a:srgbClr val="FFCC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C94-4BC3-9762-7CD2028FB24B}"/>
              </c:ext>
            </c:extLst>
          </c:dPt>
          <c:dPt>
            <c:idx val="2"/>
            <c:invertIfNegative val="0"/>
            <c:bubble3D val="0"/>
            <c:spPr>
              <a:solidFill>
                <a:srgbClr val="FFB37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C94-4BC3-9762-7CD2028FB24B}"/>
              </c:ext>
            </c:extLst>
          </c:dPt>
          <c:dPt>
            <c:idx val="3"/>
            <c:invertIfNegative val="0"/>
            <c:bubble3D val="0"/>
            <c:spPr>
              <a:solidFill>
                <a:srgbClr val="FF9A4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C94-4BC3-9762-7CD2028FB24B}"/>
              </c:ext>
            </c:extLst>
          </c:dPt>
          <c:dPt>
            <c:idx val="4"/>
            <c:invertIfNegative val="0"/>
            <c:bubble3D val="0"/>
            <c:spPr>
              <a:solidFill>
                <a:srgbClr val="FF812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C94-4BC3-9762-7CD2028FB24B}"/>
              </c:ext>
            </c:extLst>
          </c:dPt>
          <c:dPt>
            <c:idx val="5"/>
            <c:invertIfNegative val="0"/>
            <c:bubble3D val="0"/>
            <c:spPr>
              <a:solidFill>
                <a:srgbClr val="FF6A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C94-4BC3-9762-7CD2028FB24B}"/>
              </c:ext>
            </c:extLst>
          </c:dPt>
          <c:dPt>
            <c:idx val="6"/>
            <c:invertIfNegative val="0"/>
            <c:bubble3D val="0"/>
            <c:spPr>
              <a:solidFill>
                <a:srgbClr val="E65A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C94-4BC3-9762-7CD2028FB24B}"/>
              </c:ext>
            </c:extLst>
          </c:dPt>
          <c:dPt>
            <c:idx val="7"/>
            <c:invertIfNegative val="0"/>
            <c:bubble3D val="0"/>
            <c:spPr>
              <a:solidFill>
                <a:srgbClr val="C24A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7C94-4BC3-9762-7CD2028FB24B}"/>
              </c:ext>
            </c:extLst>
          </c:dPt>
          <c:dPt>
            <c:idx val="8"/>
            <c:invertIfNegative val="0"/>
            <c:bubble3D val="0"/>
            <c:spPr>
              <a:solidFill>
                <a:srgbClr val="9C3B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7C94-4BC3-9762-7CD2028FB24B}"/>
              </c:ext>
            </c:extLst>
          </c:dPt>
          <c:dPt>
            <c:idx val="9"/>
            <c:invertIfNegative val="0"/>
            <c:bubble3D val="0"/>
            <c:spPr>
              <a:solidFill>
                <a:srgbClr val="7A2E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7C94-4BC3-9762-7CD2028FB24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C6685FB-C62F-4061-B951-ECF8972BAD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C94-4BC3-9762-7CD2028FB24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CB9C860-B0DA-49A5-9CEA-D32A48E9A3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C94-4BC3-9762-7CD2028FB24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B316B7C-1077-4636-B61F-3F4D7CF755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C94-4BC3-9762-7CD2028FB24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1A449CE-20DF-422B-BC7B-8601D42838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C94-4BC3-9762-7CD2028FB24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14C56E1-C24E-4AD8-9351-F363E2E55E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C94-4BC3-9762-7CD2028FB24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EBE4FB5-5F27-41F1-9626-45DF70DDC4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7C94-4BC3-9762-7CD2028FB24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EC4F3B4-AC90-4325-BDB1-6FA27ECE6C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7C94-4BC3-9762-7CD2028FB24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A8DBF18-9603-4E50-A5EA-5119591E1B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7C94-4BC3-9762-7CD2028FB24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82545C3-671E-4523-B254-5EED19CDEC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7C94-4BC3-9762-7CD2028FB24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5423B2B-E904-4965-9D05-FCC6CDD007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7C94-4BC3-9762-7CD2028FB24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cat>
            <c:strRef>
              <c:f>'City_Churn_Analysis'!$A$2:$A$11</c:f>
              <c:strCache>
                <c:ptCount val="10"/>
                <c:pt idx="0">
                  <c:v>Glendale</c:v>
                </c:pt>
                <c:pt idx="1">
                  <c:v>Long Beach</c:v>
                </c:pt>
                <c:pt idx="2">
                  <c:v>Escondido</c:v>
                </c:pt>
                <c:pt idx="3">
                  <c:v>Temecula</c:v>
                </c:pt>
                <c:pt idx="4">
                  <c:v>Fallbrook</c:v>
                </c:pt>
                <c:pt idx="5">
                  <c:v>Sacramento</c:v>
                </c:pt>
                <c:pt idx="6">
                  <c:v>San Jose</c:v>
                </c:pt>
                <c:pt idx="7">
                  <c:v>San Francisco</c:v>
                </c:pt>
                <c:pt idx="8">
                  <c:v>Los Angeles</c:v>
                </c:pt>
                <c:pt idx="9">
                  <c:v>San Diego</c:v>
                </c:pt>
              </c:strCache>
            </c:strRef>
          </c:cat>
          <c:val>
            <c:numRef>
              <c:f>'City_Churn_Analysis'!$B$2:$B$11</c:f>
              <c:numCache>
                <c:formatCode>General</c:formatCode>
                <c:ptCount val="10"/>
                <c:pt idx="0">
                  <c:v>13</c:v>
                </c:pt>
                <c:pt idx="1">
                  <c:v>15</c:v>
                </c:pt>
                <c:pt idx="2">
                  <c:v>16</c:v>
                </c:pt>
                <c:pt idx="3">
                  <c:v>22</c:v>
                </c:pt>
                <c:pt idx="4">
                  <c:v>26</c:v>
                </c:pt>
                <c:pt idx="5">
                  <c:v>26</c:v>
                </c:pt>
                <c:pt idx="6">
                  <c:v>29</c:v>
                </c:pt>
                <c:pt idx="7">
                  <c:v>31</c:v>
                </c:pt>
                <c:pt idx="8">
                  <c:v>78</c:v>
                </c:pt>
                <c:pt idx="9">
                  <c:v>185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'City_Churn_Analysis'!$F$2:$F$11</c15:f>
                <c15:dlblRangeCache>
                  <c:ptCount val="10"/>
                  <c:pt idx="0">
                    <c:v>Attitude of support person (30.8%)</c:v>
                  </c:pt>
                  <c:pt idx="1">
                    <c:v>Moved (20%)</c:v>
                  </c:pt>
                  <c:pt idx="2">
                    <c:v>Competitor made better offer (87.5%)</c:v>
                  </c:pt>
                  <c:pt idx="3">
                    <c:v>Competitor made better offer (77.3%)</c:v>
                  </c:pt>
                  <c:pt idx="4">
                    <c:v>Competitor made better offer (88.5%)</c:v>
                  </c:pt>
                  <c:pt idx="5">
                    <c:v>Competitor had better devices (23.1%)</c:v>
                  </c:pt>
                  <c:pt idx="6">
                    <c:v>Competitor had better devices (24.1%)</c:v>
                  </c:pt>
                  <c:pt idx="7">
                    <c:v>Competitor had better devices (19.4%)</c:v>
                  </c:pt>
                  <c:pt idx="8">
                    <c:v>Competitor had better devices (19.2%)</c:v>
                  </c:pt>
                  <c:pt idx="9">
                    <c:v>Competitor made better offer (78.9%)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4-7C94-4BC3-9762-7CD2028FB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6328175"/>
        <c:axId val="576330095"/>
      </c:barChart>
      <c:catAx>
        <c:axId val="576328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330095"/>
        <c:crosses val="autoZero"/>
        <c:auto val="1"/>
        <c:lblAlgn val="ctr"/>
        <c:lblOffset val="100"/>
        <c:noMultiLvlLbl val="0"/>
      </c:catAx>
      <c:valAx>
        <c:axId val="5763300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Churned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328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14</xdr:row>
      <xdr:rowOff>114300</xdr:rowOff>
    </xdr:from>
    <xdr:to>
      <xdr:col>5</xdr:col>
      <xdr:colOff>1113124</xdr:colOff>
      <xdr:row>38</xdr:row>
      <xdr:rowOff>6387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B1C03C-100F-466A-96CE-214A2818B5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wpc2\Downloads\DA\New%20folder\5%20Final%20Report\Final%20Report.xlsx" TargetMode="External"/><Relationship Id="rId1" Type="http://schemas.openxmlformats.org/officeDocument/2006/relationships/externalLinkPath" Target="/Users/awpc2/Downloads/DA/New%20folder/5%20Final%20Report/Final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3_Customer_Stats"/>
      <sheetName val="Churn_Category_Analysis"/>
      <sheetName val="Churn_Reason_Analysis"/>
      <sheetName val="City_Churn_Analysis"/>
      <sheetName val="Phone_Internet_Churn_Analysis "/>
      <sheetName val="Contract_Tenure_Churn_Analysis"/>
      <sheetName val="Offer_Churn_Analysis"/>
      <sheetName val="Purpose"/>
      <sheetName val="Goals"/>
      <sheetName val="Dashboard"/>
      <sheetName val="Summary"/>
      <sheetName val="Next Steps"/>
    </sheetNames>
    <sheetDataSet>
      <sheetData sheetId="0"/>
      <sheetData sheetId="1"/>
      <sheetData sheetId="2"/>
      <sheetData sheetId="3">
        <row r="1">
          <cell r="B1" t="str">
            <v>total_churned</v>
          </cell>
        </row>
        <row r="2">
          <cell r="A2" t="str">
            <v>Glendale</v>
          </cell>
          <cell r="B2">
            <v>13</v>
          </cell>
          <cell r="F2" t="str">
            <v>Attitude of support person (30.8%)</v>
          </cell>
        </row>
        <row r="3">
          <cell r="A3" t="str">
            <v>Long Beach</v>
          </cell>
          <cell r="B3">
            <v>15</v>
          </cell>
          <cell r="F3" t="str">
            <v>Moved (20%)</v>
          </cell>
        </row>
        <row r="4">
          <cell r="A4" t="str">
            <v>Escondido</v>
          </cell>
          <cell r="B4">
            <v>16</v>
          </cell>
          <cell r="F4" t="str">
            <v>Competitor made better offer (87.5%)</v>
          </cell>
        </row>
        <row r="5">
          <cell r="A5" t="str">
            <v>Temecula</v>
          </cell>
          <cell r="B5">
            <v>22</v>
          </cell>
          <cell r="F5" t="str">
            <v>Competitor made better offer (77.3%)</v>
          </cell>
        </row>
        <row r="6">
          <cell r="A6" t="str">
            <v>Fallbrook</v>
          </cell>
          <cell r="B6">
            <v>26</v>
          </cell>
          <cell r="F6" t="str">
            <v>Competitor made better offer (88.5%)</v>
          </cell>
        </row>
        <row r="7">
          <cell r="A7" t="str">
            <v>Sacramento</v>
          </cell>
          <cell r="B7">
            <v>26</v>
          </cell>
          <cell r="F7" t="str">
            <v>Competitor had better devices (23.1%)</v>
          </cell>
        </row>
        <row r="8">
          <cell r="A8" t="str">
            <v>San Jose</v>
          </cell>
          <cell r="B8">
            <v>29</v>
          </cell>
          <cell r="F8" t="str">
            <v>Competitor had better devices (24.1%)</v>
          </cell>
        </row>
        <row r="9">
          <cell r="A9" t="str">
            <v>San Francisco</v>
          </cell>
          <cell r="B9">
            <v>31</v>
          </cell>
          <cell r="F9" t="str">
            <v>Competitor had better devices (19.4%)</v>
          </cell>
        </row>
        <row r="10">
          <cell r="A10" t="str">
            <v>Los Angeles</v>
          </cell>
          <cell r="B10">
            <v>78</v>
          </cell>
          <cell r="F10" t="str">
            <v>Competitor had better devices (19.2%)</v>
          </cell>
        </row>
        <row r="11">
          <cell r="A11" t="str">
            <v>San Diego</v>
          </cell>
          <cell r="B11">
            <v>185</v>
          </cell>
          <cell r="F11" t="str">
            <v>Competitor made better offer (78.9%)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B52CFF63-2CC2-483D-861C-276AE08D77CD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city" tableColumnId="1"/>
      <queryTableField id="2" name="total_churned" tableColumnId="2"/>
      <queryTableField id="3" name="top_reason" tableColumnId="3"/>
      <queryTableField id="4" name="toal_churned_for_top_reason" tableColumnId="4"/>
      <queryTableField id="5" name="churn_rate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FD32A3-56EE-4CC4-9298-7ED94505803F}" name="City_Churn_Analysis" displayName="City_Churn_Analysis" ref="A1:F11" tableType="queryTable" totalsRowShown="0">
  <autoFilter ref="A1:F11" xr:uid="{3792FD78-1CB8-4AC3-A039-DE414877C95F}"/>
  <sortState xmlns:xlrd2="http://schemas.microsoft.com/office/spreadsheetml/2017/richdata2" ref="A2:F11">
    <sortCondition ref="B1:B11"/>
  </sortState>
  <tableColumns count="6">
    <tableColumn id="1" xr3:uid="{CFC53F08-C4B5-4B6D-ACEA-80EE3FD60FA9}" uniqueName="1" name="city" queryTableFieldId="1" dataDxfId="2"/>
    <tableColumn id="2" xr3:uid="{ECA58B6B-4593-4DAB-BBED-A69EF93937C0}" uniqueName="2" name="total_churned" queryTableFieldId="2"/>
    <tableColumn id="3" xr3:uid="{8FABD599-AD4C-4A12-A52F-4F939A5CCD27}" uniqueName="3" name="top_reason" queryTableFieldId="3" dataDxfId="1"/>
    <tableColumn id="4" xr3:uid="{12FA2FBF-937F-473A-9371-615CCBB2E4D6}" uniqueName="4" name="toal_churned_for_top_reason" queryTableFieldId="4"/>
    <tableColumn id="5" xr3:uid="{D82C6F04-C49C-4474-957B-5EBA17F07286}" uniqueName="5" name="churn_rate" queryTableFieldId="5"/>
    <tableColumn id="6" xr3:uid="{F060DFE9-02DE-4586-9E4E-FBC28001583A}" uniqueName="6" name="Column1" queryTableFieldId="6" dataDxfId="0">
      <calculatedColumnFormula>C2 &amp; " (" &amp; E2 &amp; "%)"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ADCB3-0016-4200-9529-D318DFA92DDB}">
  <dimension ref="A1:F11"/>
  <sheetViews>
    <sheetView tabSelected="1" workbookViewId="0">
      <selection activeCell="M29" sqref="M29"/>
    </sheetView>
  </sheetViews>
  <sheetFormatPr defaultRowHeight="15" x14ac:dyDescent="0.25"/>
  <cols>
    <col min="1" max="1" width="13.5703125" bestFit="1" customWidth="1"/>
    <col min="2" max="2" width="15.85546875" bestFit="1" customWidth="1"/>
    <col min="3" max="3" width="27.5703125" bestFit="1" customWidth="1"/>
    <col min="4" max="4" width="29.85546875" bestFit="1" customWidth="1"/>
    <col min="5" max="5" width="12.85546875" bestFit="1" customWidth="1"/>
    <col min="6" max="6" width="34.85546875" bestFit="1" customWidth="1"/>
    <col min="7" max="11" width="5" bestFit="1" customWidth="1"/>
    <col min="12" max="12" width="9.28515625" bestFit="1" customWidth="1"/>
    <col min="14" max="14" width="11.140625" bestFit="1" customWidth="1"/>
    <col min="15" max="16" width="11.7109375" bestFit="1" customWidth="1"/>
    <col min="17" max="17" width="10" bestFit="1" customWidth="1"/>
    <col min="18" max="18" width="13.42578125" bestFit="1" customWidth="1"/>
    <col min="19" max="19" width="8.7109375" bestFit="1" customWidth="1"/>
    <col min="20" max="20" width="9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</v>
      </c>
      <c r="C2" t="s">
        <v>7</v>
      </c>
      <c r="D2">
        <v>4</v>
      </c>
      <c r="E2">
        <v>30.8</v>
      </c>
      <c r="F2" t="str">
        <f t="shared" ref="F2:F11" si="0">C2 &amp; " (" &amp; E2 &amp; "%)"</f>
        <v>Attitude of support person (30.8%)</v>
      </c>
    </row>
    <row r="3" spans="1:6" x14ac:dyDescent="0.25">
      <c r="A3" t="s">
        <v>8</v>
      </c>
      <c r="B3">
        <v>15</v>
      </c>
      <c r="C3" t="s">
        <v>9</v>
      </c>
      <c r="D3">
        <v>3</v>
      </c>
      <c r="E3">
        <v>20</v>
      </c>
      <c r="F3" t="str">
        <f t="shared" si="0"/>
        <v>Moved (20%)</v>
      </c>
    </row>
    <row r="4" spans="1:6" x14ac:dyDescent="0.25">
      <c r="A4" t="s">
        <v>10</v>
      </c>
      <c r="B4">
        <v>16</v>
      </c>
      <c r="C4" t="s">
        <v>11</v>
      </c>
      <c r="D4">
        <v>14</v>
      </c>
      <c r="E4">
        <v>87.5</v>
      </c>
      <c r="F4" t="str">
        <f t="shared" si="0"/>
        <v>Competitor made better offer (87.5%)</v>
      </c>
    </row>
    <row r="5" spans="1:6" x14ac:dyDescent="0.25">
      <c r="A5" t="s">
        <v>12</v>
      </c>
      <c r="B5">
        <v>22</v>
      </c>
      <c r="C5" t="s">
        <v>11</v>
      </c>
      <c r="D5">
        <v>17</v>
      </c>
      <c r="E5">
        <v>77.3</v>
      </c>
      <c r="F5" t="str">
        <f t="shared" si="0"/>
        <v>Competitor made better offer (77.3%)</v>
      </c>
    </row>
    <row r="6" spans="1:6" x14ac:dyDescent="0.25">
      <c r="A6" t="s">
        <v>13</v>
      </c>
      <c r="B6">
        <v>26</v>
      </c>
      <c r="C6" t="s">
        <v>11</v>
      </c>
      <c r="D6">
        <v>23</v>
      </c>
      <c r="E6">
        <v>88.5</v>
      </c>
      <c r="F6" t="str">
        <f t="shared" si="0"/>
        <v>Competitor made better offer (88.5%)</v>
      </c>
    </row>
    <row r="7" spans="1:6" x14ac:dyDescent="0.25">
      <c r="A7" t="s">
        <v>14</v>
      </c>
      <c r="B7">
        <v>26</v>
      </c>
      <c r="C7" t="s">
        <v>15</v>
      </c>
      <c r="D7">
        <v>6</v>
      </c>
      <c r="E7">
        <v>23.1</v>
      </c>
      <c r="F7" t="str">
        <f t="shared" si="0"/>
        <v>Competitor had better devices (23.1%)</v>
      </c>
    </row>
    <row r="8" spans="1:6" x14ac:dyDescent="0.25">
      <c r="A8" t="s">
        <v>16</v>
      </c>
      <c r="B8">
        <v>29</v>
      </c>
      <c r="C8" t="s">
        <v>15</v>
      </c>
      <c r="D8">
        <v>7</v>
      </c>
      <c r="E8">
        <v>24.1</v>
      </c>
      <c r="F8" t="str">
        <f t="shared" si="0"/>
        <v>Competitor had better devices (24.1%)</v>
      </c>
    </row>
    <row r="9" spans="1:6" x14ac:dyDescent="0.25">
      <c r="A9" t="s">
        <v>17</v>
      </c>
      <c r="B9">
        <v>31</v>
      </c>
      <c r="C9" t="s">
        <v>15</v>
      </c>
      <c r="D9">
        <v>6</v>
      </c>
      <c r="E9">
        <v>19.399999999999999</v>
      </c>
      <c r="F9" t="str">
        <f t="shared" si="0"/>
        <v>Competitor had better devices (19.4%)</v>
      </c>
    </row>
    <row r="10" spans="1:6" x14ac:dyDescent="0.25">
      <c r="A10" t="s">
        <v>18</v>
      </c>
      <c r="B10">
        <v>78</v>
      </c>
      <c r="C10" t="s">
        <v>15</v>
      </c>
      <c r="D10">
        <v>15</v>
      </c>
      <c r="E10">
        <v>19.2</v>
      </c>
      <c r="F10" t="str">
        <f t="shared" si="0"/>
        <v>Competitor had better devices (19.2%)</v>
      </c>
    </row>
    <row r="11" spans="1:6" x14ac:dyDescent="0.25">
      <c r="A11" t="s">
        <v>19</v>
      </c>
      <c r="B11">
        <v>185</v>
      </c>
      <c r="C11" t="s">
        <v>11</v>
      </c>
      <c r="D11">
        <v>146</v>
      </c>
      <c r="E11">
        <v>78.900000000000006</v>
      </c>
      <c r="F11" t="str">
        <f t="shared" si="0"/>
        <v>Competitor made better offer (78.9%)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37A72-C7D8-4866-AD46-2BD5D1F5FE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City_Churn_Analysis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Anindo Biswas</dc:creator>
  <cp:lastModifiedBy>Anindo Biswas</cp:lastModifiedBy>
  <dcterms:created xsi:type="dcterms:W3CDTF">2026-02-16T22:11:20Z</dcterms:created>
  <dcterms:modified xsi:type="dcterms:W3CDTF">2026-02-16T22:11:37Z</dcterms:modified>
</cp:coreProperties>
</file>